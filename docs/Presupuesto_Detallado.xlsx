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Fu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9"/>
    </font>
    <font>
      <name val="Arial"/>
      <b val="1"/>
      <color rgb="001F4E78"/>
      <sz val="11"/>
    </font>
    <font>
      <name val="Arial"/>
      <b val="1"/>
      <color rgb="000000FF"/>
    </font>
    <font>
      <name val="Arial"/>
      <b val="1"/>
      <color rgb="00FFFFFF"/>
      <sz val="11"/>
    </font>
    <font>
      <name val="Arial"/>
      <b val="1"/>
      <color rgb="00404040"/>
    </font>
    <font>
      <name val="Arial"/>
      <sz val="10"/>
    </font>
    <font>
      <name val="Arial"/>
      <color rgb="000000FF"/>
      <sz val="10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  <b val="1"/>
      <sz val="11"/>
    </font>
    <font>
      <name val="Arial"/>
      <b val="1"/>
      <color rgb="00000000"/>
      <sz val="11"/>
    </font>
    <font>
      <name val="Arial"/>
      <b val="1"/>
      <color rgb="001F4E78"/>
      <sz val="13"/>
    </font>
    <font>
      <name val="Arial"/>
      <b val="1"/>
      <color rgb="00FFFFFF"/>
    </font>
    <font>
      <name val="Arial"/>
      <b val="1"/>
      <sz val="10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0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4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right"/>
    </xf>
    <xf numFmtId="3" fontId="10" fillId="0" borderId="1" applyAlignment="1" pivotButton="0" quotePrefix="0" xfId="0">
      <alignment horizontal="right"/>
    </xf>
    <xf numFmtId="0" fontId="2" fillId="0" borderId="1" pivotButton="0" quotePrefix="0" xfId="0"/>
    <xf numFmtId="0" fontId="11" fillId="5" borderId="1" pivotButton="0" quotePrefix="0" xfId="0"/>
    <xf numFmtId="0" fontId="0" fillId="5" borderId="1" pivotButton="0" quotePrefix="0" xfId="0"/>
    <xf numFmtId="3" fontId="11" fillId="5" borderId="1" applyAlignment="1" pivotButton="0" quotePrefix="0" xfId="0">
      <alignment horizontal="right"/>
    </xf>
    <xf numFmtId="0" fontId="0" fillId="0" borderId="1" pivotButton="0" quotePrefix="0" xfId="0"/>
    <xf numFmtId="164" fontId="9" fillId="0" borderId="1" applyAlignment="1" pivotButton="0" quotePrefix="0" xfId="0">
      <alignment horizontal="right"/>
    </xf>
    <xf numFmtId="0" fontId="12" fillId="0" borderId="1" pivotButton="0" quotePrefix="0" xfId="0"/>
    <xf numFmtId="3" fontId="13" fillId="0" borderId="1" applyAlignment="1" pivotButton="0" quotePrefix="0" xfId="0">
      <alignment horizontal="right"/>
    </xf>
    <xf numFmtId="0" fontId="5" fillId="6" borderId="1" pivotButton="0" quotePrefix="0" xfId="0"/>
    <xf numFmtId="0" fontId="0" fillId="6" borderId="1" pivotButton="0" quotePrefix="0" xfId="0"/>
    <xf numFmtId="3" fontId="5" fillId="6" borderId="1" applyAlignment="1" pivotButton="0" quotePrefix="0" xfId="0">
      <alignment horizontal="right"/>
    </xf>
    <xf numFmtId="0" fontId="14" fillId="0" borderId="0" pivotButton="0" quotePrefix="0" xfId="0"/>
    <xf numFmtId="0" fontId="15" fillId="3" borderId="1" applyAlignment="1" pivotButton="0" quotePrefix="0" xfId="0">
      <alignment horizontal="center"/>
    </xf>
    <xf numFmtId="0" fontId="1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1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api.cl/preguntas-frecuentes/marcas" TargetMode="External" Id="rId1"/><Relationship Type="http://schemas.openxmlformats.org/officeDocument/2006/relationships/hyperlink" Target="https://www.nic.cl/dominios/tarifas.html" TargetMode="External" Id="rId2"/><Relationship Type="http://schemas.openxmlformats.org/officeDocument/2006/relationships/hyperlink" Target="https://ayuda.transbank.cl/tarifas-vender-webpay" TargetMode="External" Id="rId3"/><Relationship Type="http://schemas.openxmlformats.org/officeDocument/2006/relationships/hyperlink" Target="https://developers.facebook.com/documentation/business-messaging/whatsapp/pricing" TargetMode="External" Id="rId4"/><Relationship Type="http://schemas.openxmlformats.org/officeDocument/2006/relationships/hyperlink" Target="https://platform.claude.com/docs/en/about-claude/pricing" TargetMode="External" Id="rId5"/><Relationship Type="http://schemas.openxmlformats.org/officeDocument/2006/relationships/hyperlink" Target="https://aws.amazon.com/lightsail/pricing/" TargetMode="External" Id="rId6"/><Relationship Type="http://schemas.openxmlformats.org/officeDocument/2006/relationships/hyperlink" Target="https://vendercontarjeta.cl/costo-contador-mensual-chile-2025/" TargetMode="External" Id="rId7"/><Relationship Type="http://schemas.openxmlformats.org/officeDocument/2006/relationships/hyperlink" Target="https://www.registrodeempresasysociedades.cl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6" customWidth="1" min="3" max="3"/>
    <col width="16" customWidth="1" min="4" max="4"/>
    <col width="46" customWidth="1" min="5" max="5"/>
  </cols>
  <sheetData>
    <row r="1">
      <c r="A1" s="1" t="inlineStr">
        <is>
          <t>Pyval — Presupuesto Detallado</t>
        </is>
      </c>
    </row>
    <row r="2" ht="26" customHeight="1">
      <c r="A2" s="2" t="inlineStr">
        <is>
          <t>Tienda online (un solo dueño), Chile. Cifras en pesos (CLP) fundamentadas en fuentes oficiales/de mercado (consultadas jul-2026; ver hoja 'Fuentes'). Celdas azules = editables. Ítems en USD se convierten con el tipo de cambio de abajo.</t>
        </is>
      </c>
    </row>
    <row r="4">
      <c r="A4" s="3" t="inlineStr">
        <is>
          <t>Supuestos</t>
        </is>
      </c>
    </row>
    <row r="5">
      <c r="A5" t="inlineStr">
        <is>
          <t>Tipo de cambio USD → CLP</t>
        </is>
      </c>
      <c r="B5" s="4" t="n">
        <v>950</v>
      </c>
      <c r="C5" s="2" t="inlineStr">
        <is>
          <t>← ajustar al valor vigente</t>
        </is>
      </c>
    </row>
    <row r="7">
      <c r="A7" s="5" t="inlineStr">
        <is>
          <t>1. Inversión inicial (costos únicos)</t>
        </is>
      </c>
      <c r="B7" s="6" t="n"/>
      <c r="C7" s="6" t="n"/>
      <c r="D7" s="6" t="n"/>
      <c r="E7" s="6" t="n"/>
    </row>
    <row r="8">
      <c r="A8" s="7" t="inlineStr">
        <is>
          <t>Ítem</t>
        </is>
      </c>
      <c r="B8" s="7" t="inlineStr">
        <is>
          <t>Moneda</t>
        </is>
      </c>
      <c r="C8" s="7" t="inlineStr">
        <is>
          <t>Monto (moneda)</t>
        </is>
      </c>
      <c r="D8" s="7" t="inlineStr">
        <is>
          <t>Monto (CLP)</t>
        </is>
      </c>
      <c r="E8" s="7" t="inlineStr">
        <is>
          <t>Notas</t>
        </is>
      </c>
    </row>
    <row r="9">
      <c r="A9" s="8" t="inlineStr">
        <is>
          <t>Constitución de empresa (SpA)</t>
        </is>
      </c>
      <c r="B9" s="9" t="inlineStr">
        <is>
          <t>CLP</t>
        </is>
      </c>
      <c r="C9" s="10" t="n">
        <v>0</v>
      </c>
      <c r="D9" s="11">
        <f>IF(B9="USD",C9*$B$5,C9)</f>
        <v/>
      </c>
      <c r="E9" s="12" t="inlineStr">
        <is>
          <t>Empresa en un Día es gratis; costo solo si requiere notaría/firma</t>
        </is>
      </c>
    </row>
    <row r="10">
      <c r="A10" s="8" t="inlineStr">
        <is>
          <t>Registro de marca (INAPI, 1 clase)</t>
        </is>
      </c>
      <c r="B10" s="9" t="inlineStr">
        <is>
          <t>CLP</t>
        </is>
      </c>
      <c r="C10" s="10" t="n">
        <v>212000</v>
      </c>
      <c r="D10" s="11">
        <f>IF(B10="USD",C10*$B$5,C10)</f>
        <v/>
      </c>
      <c r="E10" s="12" t="inlineStr">
        <is>
          <t>3 UTM/clase (1 inicial + 2 final) ≈ $212.000 con UTM ~$70.588 + publicación Diario Oficial (variable). Fuente: INAPI</t>
        </is>
      </c>
    </row>
    <row r="11">
      <c r="A11" s="8" t="inlineStr">
        <is>
          <t>Asesoría legal (T&amp;C + política de privacidad)</t>
        </is>
      </c>
      <c r="B11" s="9" t="inlineStr">
        <is>
          <t>CLP</t>
        </is>
      </c>
      <c r="C11" s="10" t="n">
        <v>200000</v>
      </c>
      <c r="D11" s="11">
        <f>IF(B11="USD",C11*$B$5,C11)</f>
        <v/>
      </c>
      <c r="E11" s="12" t="inlineStr">
        <is>
          <t>Referencial; menor usando plantillas base</t>
        </is>
      </c>
    </row>
    <row r="12">
      <c r="A12" s="8" t="inlineStr">
        <is>
          <t>Diseño de marca / identidad visual</t>
        </is>
      </c>
      <c r="B12" s="9" t="inlineStr">
        <is>
          <t>CLP</t>
        </is>
      </c>
      <c r="C12" s="10" t="n">
        <v>150000</v>
      </c>
      <c r="D12" s="11">
        <f>IF(B12="USD",C12*$B$5,C12)</f>
        <v/>
      </c>
      <c r="E12" s="12" t="inlineStr">
        <is>
          <t>Logo, colores, tipografías</t>
        </is>
      </c>
    </row>
    <row r="13">
      <c r="A13" s="8" t="inlineStr">
        <is>
          <t>Configuración inicial (cloud, dominio, correo)</t>
        </is>
      </c>
      <c r="B13" s="9" t="inlineStr">
        <is>
          <t>CLP</t>
        </is>
      </c>
      <c r="C13" s="10" t="n">
        <v>50000</v>
      </c>
      <c r="D13" s="11">
        <f>IF(B13="USD",C13*$B$5,C13)</f>
        <v/>
      </c>
      <c r="E13" s="12" t="inlineStr">
        <is>
          <t>Puesta en marcha inicial</t>
        </is>
      </c>
    </row>
    <row r="14">
      <c r="A14" s="13" t="inlineStr">
        <is>
          <t>Subtotal inversión inicial</t>
        </is>
      </c>
      <c r="B14" s="14" t="n"/>
      <c r="C14" s="14" t="n"/>
      <c r="D14" s="15">
        <f>SUM(D9:D13)</f>
        <v/>
      </c>
      <c r="E14" s="14" t="n"/>
    </row>
    <row r="16">
      <c r="A16" s="5" t="inlineStr">
        <is>
          <t>2. Costos operativos mensuales (fijos)</t>
        </is>
      </c>
      <c r="B16" s="6" t="n"/>
      <c r="C16" s="6" t="n"/>
      <c r="D16" s="6" t="n"/>
      <c r="E16" s="6" t="n"/>
    </row>
    <row r="17">
      <c r="A17" s="7" t="inlineStr">
        <is>
          <t>Ítem</t>
        </is>
      </c>
      <c r="B17" s="7" t="inlineStr">
        <is>
          <t>Moneda</t>
        </is>
      </c>
      <c r="C17" s="7" t="inlineStr">
        <is>
          <t>Monto (moneda)</t>
        </is>
      </c>
      <c r="D17" s="7" t="inlineStr">
        <is>
          <t>Monto (CLP)</t>
        </is>
      </c>
      <c r="E17" s="7" t="inlineStr">
        <is>
          <t>Notas</t>
        </is>
      </c>
    </row>
    <row r="18">
      <c r="A18" s="8" t="inlineStr">
        <is>
          <t>Infraestructura cloud (compute + BD administrada)</t>
        </is>
      </c>
      <c r="B18" s="9" t="inlineStr">
        <is>
          <t>USD</t>
        </is>
      </c>
      <c r="C18" s="10" t="n">
        <v>40</v>
      </c>
      <c r="D18" s="11">
        <f>IF(B18="USD",C18*$B$5,C18)</f>
        <v/>
      </c>
      <c r="E18" s="12" t="inlineStr">
        <is>
          <t>AWS Lightsail desde $5/mes + BD micro desde $15/mes; escala con el tráfico. Fuente: AWS Lightsail</t>
        </is>
      </c>
    </row>
    <row r="19">
      <c r="A19" s="8" t="inlineStr">
        <is>
          <t>Dominio + correo (prorrateo mensual)</t>
        </is>
      </c>
      <c r="B19" s="9" t="inlineStr">
        <is>
          <t>CLP</t>
        </is>
      </c>
      <c r="C19" s="10" t="n">
        <v>6000</v>
      </c>
      <c r="D19" s="11">
        <f>IF(B19="USD",C19*$B$5,C19)</f>
        <v/>
      </c>
      <c r="E19" s="12" t="inlineStr">
        <is>
          <t>Dominio .cl $10.950/año IVA incl (≈$913/mes) + correo básico. Fuente: NIC Chile</t>
        </is>
      </c>
    </row>
    <row r="20">
      <c r="A20" s="8" t="inlineStr">
        <is>
          <t>Email transaccional / SMS</t>
        </is>
      </c>
      <c r="B20" s="9" t="inlineStr">
        <is>
          <t>USD</t>
        </is>
      </c>
      <c r="C20" s="10" t="n">
        <v>10</v>
      </c>
      <c r="D20" s="11">
        <f>IF(B20="USD",C20*$B$5,C20)</f>
        <v/>
      </c>
      <c r="E20" s="12" t="inlineStr">
        <is>
          <t>SendGrid/SES (free tier inicial) + Twilio SMS según volumen</t>
        </is>
      </c>
    </row>
    <row r="21">
      <c r="A21" s="8" t="inlineStr">
        <is>
          <t>WhatsApp Business (mensajería)</t>
        </is>
      </c>
      <c r="B21" s="9" t="inlineStr">
        <is>
          <t>USD</t>
        </is>
      </c>
      <c r="C21" s="10" t="n">
        <v>0</v>
      </c>
      <c r="D21" s="11">
        <f>IF(B21="USD",C21*$B$5,C21)</f>
        <v/>
      </c>
      <c r="E21" s="12" t="inlineStr">
        <is>
          <t>Atención ENTRANTE (ventana 24h) gratis e ilimitada desde nov-2024; solo plantillas proactivas se pagan. Fuente: Meta</t>
        </is>
      </c>
    </row>
    <row r="22">
      <c r="A22" s="8" t="inlineStr">
        <is>
          <t>IA / LLM (agente conversacional)</t>
        </is>
      </c>
      <c r="B22" s="9" t="inlineStr">
        <is>
          <t>USD</t>
        </is>
      </c>
      <c r="C22" s="10" t="n">
        <v>15</v>
      </c>
      <c r="D22" s="11">
        <f>IF(B22="USD",C22*$B$5,C22)</f>
        <v/>
      </c>
      <c r="E22" s="12" t="inlineStr">
        <is>
          <t>Ej. Claude Haiku 4.5 $1/$5 por millón de tokens (in/out); ~$10–15/mes a bajo volumen. Fuente: Anthropic</t>
        </is>
      </c>
    </row>
    <row r="23">
      <c r="A23" s="8" t="inlineStr">
        <is>
          <t>Contador / contabilidad mensual</t>
        </is>
      </c>
      <c r="B23" s="9" t="inlineStr">
        <is>
          <t>CLP</t>
        </is>
      </c>
      <c r="C23" s="10" t="n">
        <v>50000</v>
      </c>
      <c r="D23" s="11">
        <f>IF(B23="USD",C23*$B$5,C23)</f>
        <v/>
      </c>
      <c r="E23" s="12" t="inlineStr">
        <is>
          <t>Micro/emprendedor ~$40.000–70.000/mes (F29 básico desde ~$20.000). Fuente: mercado CL 2025-26</t>
        </is>
      </c>
    </row>
    <row r="24">
      <c r="A24" s="8" t="inlineStr">
        <is>
          <t>Herramientas (gestión de redes, email mkt)</t>
        </is>
      </c>
      <c r="B24" s="9" t="inlineStr">
        <is>
          <t>CLP</t>
        </is>
      </c>
      <c r="C24" s="10" t="n">
        <v>15000</v>
      </c>
      <c r="D24" s="11">
        <f>IF(B24="USD",C24*$B$5,C24)</f>
        <v/>
      </c>
      <c r="E24" s="12" t="inlineStr">
        <is>
          <t>Opcional según stack</t>
        </is>
      </c>
    </row>
    <row r="25">
      <c r="A25" s="13" t="inlineStr">
        <is>
          <t>Subtotal operación mensual (fijos)</t>
        </is>
      </c>
      <c r="B25" s="14" t="n"/>
      <c r="C25" s="14" t="n"/>
      <c r="D25" s="15">
        <f>SUM(D18:D24)</f>
        <v/>
      </c>
      <c r="E25" s="14" t="n"/>
    </row>
    <row r="27">
      <c r="A27" s="5" t="inlineStr">
        <is>
          <t>3. Marketing — pauta mensual (variable)</t>
        </is>
      </c>
      <c r="B27" s="6" t="n"/>
      <c r="C27" s="6" t="n"/>
      <c r="D27" s="6" t="n"/>
      <c r="E27" s="6" t="n"/>
    </row>
    <row r="28">
      <c r="A28" s="7" t="inlineStr">
        <is>
          <t>Ítem</t>
        </is>
      </c>
      <c r="B28" s="7" t="inlineStr">
        <is>
          <t>Moneda</t>
        </is>
      </c>
      <c r="C28" s="7" t="inlineStr">
        <is>
          <t>Monto (moneda)</t>
        </is>
      </c>
      <c r="D28" s="7" t="inlineStr">
        <is>
          <t>Monto (CLP)</t>
        </is>
      </c>
      <c r="E28" s="7" t="inlineStr">
        <is>
          <t>Notas</t>
        </is>
      </c>
    </row>
    <row r="29">
      <c r="A29" s="8" t="inlineStr">
        <is>
          <t>Pauta Meta Ads (Instagram/Facebook)</t>
        </is>
      </c>
      <c r="B29" s="9" t="inlineStr">
        <is>
          <t>CLP</t>
        </is>
      </c>
      <c r="C29" s="10" t="n">
        <v>150000</v>
      </c>
      <c r="D29" s="11">
        <f>IF(B29="USD",C29*$B$5,C29)</f>
        <v/>
      </c>
      <c r="E29" s="12" t="inlineStr">
        <is>
          <t>Inversión inicial sugerida; escalar según ROAS</t>
        </is>
      </c>
    </row>
    <row r="30">
      <c r="A30" s="8" t="inlineStr">
        <is>
          <t>Pauta Google Ads</t>
        </is>
      </c>
      <c r="B30" s="9" t="inlineStr">
        <is>
          <t>CLP</t>
        </is>
      </c>
      <c r="C30" s="10" t="n">
        <v>100000</v>
      </c>
      <c r="D30" s="11">
        <f>IF(B30="USD",C30*$B$5,C30)</f>
        <v/>
      </c>
      <c r="E30" s="12" t="inlineStr">
        <is>
          <t>Opcional al inicio</t>
        </is>
      </c>
    </row>
    <row r="31">
      <c r="A31" s="13" t="inlineStr">
        <is>
          <t>Subtotal marketing mensual</t>
        </is>
      </c>
      <c r="B31" s="14" t="n"/>
      <c r="C31" s="14" t="n"/>
      <c r="D31" s="15">
        <f>SUM(D29:D30)</f>
        <v/>
      </c>
      <c r="E31" s="14" t="n"/>
    </row>
    <row r="33">
      <c r="A33" s="5" t="inlineStr">
        <is>
          <t>4. Costos variables por venta</t>
        </is>
      </c>
      <c r="B33" s="6" t="n"/>
      <c r="C33" s="6" t="n"/>
      <c r="D33" s="6" t="n"/>
      <c r="E33" s="6" t="n"/>
    </row>
    <row r="34">
      <c r="A34" s="8" t="inlineStr">
        <is>
          <t>Comisión pasarela de pago (% por venta)</t>
        </is>
      </c>
      <c r="B34" s="16" t="n"/>
      <c r="C34" s="17" t="n">
        <v>0.0235</v>
      </c>
      <c r="D34" s="16" t="n"/>
      <c r="E34" s="12" t="inlineStr">
        <is>
          <t>Webpay Plus nuevos comercios: 2,35% crédito (+IVA), 1,75% débito; dinámica 1,49–2,95%. Arriendo $0. Fuente: Transbank</t>
        </is>
      </c>
    </row>
    <row r="36">
      <c r="A36" s="5" t="inlineStr">
        <is>
          <t>Resumen</t>
        </is>
      </c>
      <c r="B36" s="6" t="n"/>
      <c r="C36" s="6" t="n"/>
      <c r="D36" s="6" t="n"/>
      <c r="E36" s="6" t="n"/>
    </row>
    <row r="37">
      <c r="A37" s="18" t="inlineStr">
        <is>
          <t>Inversión inicial (única)</t>
        </is>
      </c>
      <c r="B37" s="16" t="n"/>
      <c r="C37" s="16" t="n"/>
      <c r="D37" s="19">
        <f>D14</f>
        <v/>
      </c>
      <c r="E37" s="16" t="n"/>
    </row>
    <row r="38">
      <c r="A38" s="18" t="inlineStr">
        <is>
          <t>Operación mensual (fijos + pauta)</t>
        </is>
      </c>
      <c r="B38" s="16" t="n"/>
      <c r="C38" s="16" t="n"/>
      <c r="D38" s="19">
        <f>D25+D31</f>
        <v/>
      </c>
      <c r="E38" s="16" t="n"/>
    </row>
    <row r="39">
      <c r="A39" s="20" t="inlineStr">
        <is>
          <t>Proyección primer año (inicial + 12 meses)</t>
        </is>
      </c>
      <c r="B39" s="21" t="n"/>
      <c r="C39" s="21" t="n"/>
      <c r="D39" s="22">
        <f>D37+12*D38</f>
        <v/>
      </c>
      <c r="E39" s="21" t="n"/>
    </row>
    <row r="40">
      <c r="A40" s="2" t="inlineStr">
        <is>
          <t>Nota: la comisión de la pasarela (4) es variable y depende de las ventas; no se incluye en el total anual fijo.</t>
        </is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6" customWidth="1" min="3" max="3"/>
    <col width="60" customWidth="1" min="4" max="4"/>
  </cols>
  <sheetData>
    <row r="1">
      <c r="A1" s="23" t="inlineStr">
        <is>
          <t>Fuentes del presupuesto (consultadas en julio de 2026)</t>
        </is>
      </c>
    </row>
    <row r="3">
      <c r="A3" s="24" t="inlineStr">
        <is>
          <t>Ítem</t>
        </is>
      </c>
      <c r="B3" s="24" t="inlineStr">
        <is>
          <t>Dato tomado</t>
        </is>
      </c>
      <c r="C3" s="24" t="inlineStr">
        <is>
          <t>Fuente</t>
        </is>
      </c>
      <c r="D3" s="24" t="inlineStr">
        <is>
          <t>URL</t>
        </is>
      </c>
    </row>
    <row r="4">
      <c r="A4" s="25" t="inlineStr">
        <is>
          <t>Registro de marca</t>
        </is>
      </c>
      <c r="B4" s="26" t="inlineStr">
        <is>
          <t>3 UTM por clase (1 inicial + 2 final)</t>
        </is>
      </c>
      <c r="C4" s="27" t="inlineStr">
        <is>
          <t>INAPI</t>
        </is>
      </c>
      <c r="D4" s="28" t="inlineStr">
        <is>
          <t>https://www.inapi.cl/preguntas-frecuentes/marcas</t>
        </is>
      </c>
    </row>
    <row r="5">
      <c r="A5" s="25" t="inlineStr">
        <is>
          <t>Dominio .cl</t>
        </is>
      </c>
      <c r="B5" s="26" t="inlineStr">
        <is>
          <t>$10.950/año IVA incluido</t>
        </is>
      </c>
      <c r="C5" s="27" t="inlineStr">
        <is>
          <t>NIC Chile</t>
        </is>
      </c>
      <c r="D5" s="28" t="inlineStr">
        <is>
          <t>https://www.nic.cl/dominios/tarifas.html</t>
        </is>
      </c>
    </row>
    <row r="6">
      <c r="A6" s="25" t="inlineStr">
        <is>
          <t>Comisión pasarela</t>
        </is>
      </c>
      <c r="B6" s="26" t="inlineStr">
        <is>
          <t>Webpay Plus 2,35% crédito / 1,75% débito (nuevos)</t>
        </is>
      </c>
      <c r="C6" s="27" t="inlineStr">
        <is>
          <t>Transbank</t>
        </is>
      </c>
      <c r="D6" s="28" t="inlineStr">
        <is>
          <t>https://ayuda.transbank.cl/tarifas-vender-webpay</t>
        </is>
      </c>
    </row>
    <row r="7">
      <c r="A7" s="25" t="inlineStr">
        <is>
          <t>WhatsApp Business</t>
        </is>
      </c>
      <c r="B7" s="26" t="inlineStr">
        <is>
          <t>Conversaciones de servicio (entrantes) gratis desde nov-2024</t>
        </is>
      </c>
      <c r="C7" s="27" t="inlineStr">
        <is>
          <t>Meta / WhatsApp Platform</t>
        </is>
      </c>
      <c r="D7" s="28" t="inlineStr">
        <is>
          <t>https://developers.facebook.com/documentation/business-messaging/whatsapp/pricing</t>
        </is>
      </c>
    </row>
    <row r="8">
      <c r="A8" s="25" t="inlineStr">
        <is>
          <t>IA / LLM</t>
        </is>
      </c>
      <c r="B8" s="26" t="inlineStr">
        <is>
          <t>Claude Haiku 4.5: $1 / $5 por millón de tokens (in/out)</t>
        </is>
      </c>
      <c r="C8" s="27" t="inlineStr">
        <is>
          <t>Anthropic</t>
        </is>
      </c>
      <c r="D8" s="28" t="inlineStr">
        <is>
          <t>https://platform.claude.com/docs/en/about-claude/pricing</t>
        </is>
      </c>
    </row>
    <row r="9">
      <c r="A9" s="25" t="inlineStr">
        <is>
          <t>Infraestructura cloud</t>
        </is>
      </c>
      <c r="B9" s="26" t="inlineStr">
        <is>
          <t>Lightsail desde $5/mes + BD micro desde $15/mes</t>
        </is>
      </c>
      <c r="C9" s="27" t="inlineStr">
        <is>
          <t>AWS</t>
        </is>
      </c>
      <c r="D9" s="28" t="inlineStr">
        <is>
          <t>https://aws.amazon.com/lightsail/pricing/</t>
        </is>
      </c>
    </row>
    <row r="10">
      <c r="A10" s="25" t="inlineStr">
        <is>
          <t>Contador pyme</t>
        </is>
      </c>
      <c r="B10" s="26" t="inlineStr">
        <is>
          <t>Micro/emprendedor ~$40.000–70.000/mes</t>
        </is>
      </c>
      <c r="C10" s="27" t="inlineStr">
        <is>
          <t>Referencia mercado CL 2025-26</t>
        </is>
      </c>
      <c r="D10" s="28" t="inlineStr">
        <is>
          <t>https://vendercontarjeta.cl/costo-contador-mensual-chile-2025/</t>
        </is>
      </c>
    </row>
    <row r="11">
      <c r="A11" s="25" t="inlineStr">
        <is>
          <t>Constitución empresa</t>
        </is>
      </c>
      <c r="B11" s="26" t="inlineStr">
        <is>
          <t>Empresa en un Día (gratis)</t>
        </is>
      </c>
      <c r="C11" s="27" t="inlineStr">
        <is>
          <t>Registro de Empresas y Sociedades</t>
        </is>
      </c>
      <c r="D11" s="28" t="inlineStr">
        <is>
          <t>https://www.registrodeempresasysociedades.cl/</t>
        </is>
      </c>
    </row>
    <row r="13">
      <c r="A13" s="2" t="inlineStr">
        <is>
          <t>Nota: los valores en UTM se actualizan mensualmente (SII). La pauta de marketing (sección 3) es una decisión de inversión, no un costo de mercado. Las cifras de asesoría legal y diseño son referenciales.</t>
        </is>
      </c>
    </row>
  </sheetData>
  <mergeCells count="1">
    <mergeCell ref="A13:D13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2026-07-03T01:52:04Z</dcterms:created>
  <dcterms:modified xmlns:dcterms="http://purl.org/dc/terms/" xmlns:xsi="http://www.w3.org/2001/XMLSchema-instance" xsi:type="dcterms:W3CDTF">2026-07-03T01:52:04Z</dcterms:modified>
</cp:coreProperties>
</file>